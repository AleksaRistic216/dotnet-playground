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SuperApp\WinForms.SuperApp\Resources\"/>
    </mc:Choice>
  </mc:AlternateContent>
  <xr:revisionPtr revIDLastSave="0" documentId="13_ncr:1_{D37A53A3-20A0-45A4-A9B5-AD67495337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rtfolio" sheetId="1" r:id="rId1"/>
    <sheet name="Calculations" sheetId="2" state="hidden" r:id="rId2"/>
  </sheets>
  <definedNames>
    <definedName name="DataTable">Portfolio!$B$19:$I$30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 a="1"/>
  <c r="B4" i="2" s="1"/>
  <c r="B5" i="2" l="1" a="1"/>
  <c r="B5" i="2"/>
  <c r="B6" i="2" l="1" a="1"/>
  <c r="B6" i="2"/>
  <c r="C6" i="2"/>
  <c r="I24" i="1"/>
  <c r="I20" i="1"/>
  <c r="I21" i="1"/>
  <c r="I22" i="1"/>
  <c r="I23" i="1"/>
  <c r="I25" i="1"/>
  <c r="I26" i="1"/>
  <c r="I27" i="1"/>
  <c r="I28" i="1"/>
  <c r="I29" i="1"/>
  <c r="I30" i="1"/>
  <c r="I19" i="1"/>
  <c r="C16" i="2" l="1"/>
  <c r="B16" i="2"/>
  <c r="C20" i="2"/>
  <c r="B20" i="2"/>
  <c r="C22" i="2"/>
  <c r="B22" i="2"/>
  <c r="C17" i="2"/>
  <c r="B17" i="2"/>
  <c r="C18" i="2"/>
  <c r="B18" i="2"/>
  <c r="C19" i="2"/>
  <c r="B19" i="2"/>
  <c r="C21" i="2"/>
  <c r="B21" i="2"/>
  <c r="C27" i="2"/>
  <c r="B27" i="2"/>
  <c r="C23" i="2"/>
  <c r="B23" i="2"/>
  <c r="C24" i="2"/>
  <c r="B24" i="2"/>
  <c r="C25" i="2"/>
  <c r="B25" i="2"/>
  <c r="C26" i="2"/>
  <c r="B26" i="2"/>
  <c r="C5" i="2"/>
  <c r="B7" i="2" a="1"/>
  <c r="B7" i="2"/>
  <c r="C7" i="2"/>
  <c r="B8" i="2" l="1" a="1"/>
  <c r="B8" i="2"/>
  <c r="C8" i="2"/>
  <c r="B9" i="2" l="1" a="1"/>
  <c r="B9" i="2"/>
  <c r="B10" i="2" l="1" a="1"/>
  <c r="B10" i="2"/>
  <c r="C10" i="2"/>
  <c r="C9" i="2"/>
</calcChain>
</file>

<file path=xl/sharedStrings.xml><?xml version="1.0" encoding="utf-8"?>
<sst xmlns="http://schemas.openxmlformats.org/spreadsheetml/2006/main" count="50" uniqueCount="43">
  <si>
    <t>INVESTMENT PORTFOLIO</t>
  </si>
  <si>
    <t>Symbol</t>
  </si>
  <si>
    <t>Company Name</t>
  </si>
  <si>
    <t>Sector</t>
  </si>
  <si>
    <t>Open</t>
  </si>
  <si>
    <t>Price</t>
  </si>
  <si>
    <t>Change in Price</t>
  </si>
  <si>
    <t>Quantity</t>
  </si>
  <si>
    <t>Total</t>
  </si>
  <si>
    <t>MSFT</t>
  </si>
  <si>
    <t>Microsoft Corporation</t>
  </si>
  <si>
    <t>Technology</t>
  </si>
  <si>
    <t>LNCO</t>
  </si>
  <si>
    <t>Linn Co</t>
  </si>
  <si>
    <t>Energy</t>
  </si>
  <si>
    <t>F</t>
  </si>
  <si>
    <t>Ford Motor Co</t>
  </si>
  <si>
    <t>Consumer Cyclical</t>
  </si>
  <si>
    <t>BGSC</t>
  </si>
  <si>
    <t>BGS Acquisition Corp</t>
  </si>
  <si>
    <t>Industrials</t>
  </si>
  <si>
    <t>ADRD</t>
  </si>
  <si>
    <t>BLDRS Developed Markets 100 ADR Index F</t>
  </si>
  <si>
    <t>Consumer Defensive</t>
  </si>
  <si>
    <t>V</t>
  </si>
  <si>
    <t>Visa</t>
  </si>
  <si>
    <t>Financial Services</t>
  </si>
  <si>
    <t>MGI</t>
  </si>
  <si>
    <t>MoneyGram International Inc</t>
  </si>
  <si>
    <t>R</t>
  </si>
  <si>
    <t>Ryder System Inc</t>
  </si>
  <si>
    <t>JACK</t>
  </si>
  <si>
    <t>Jack In The Box Inc</t>
  </si>
  <si>
    <t>GE</t>
  </si>
  <si>
    <t>General Electric Co</t>
  </si>
  <si>
    <t>SBUX</t>
  </si>
  <si>
    <t>Starbucks Corporation</t>
  </si>
  <si>
    <t>NOK</t>
  </si>
  <si>
    <t>Nokia Corp ADS</t>
  </si>
  <si>
    <t>Portfolio Sectors</t>
  </si>
  <si>
    <t>Price by Sectors</t>
  </si>
  <si>
    <t>Top 5 Positions</t>
  </si>
  <si>
    <t>Company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</si>
</sst>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$-409]* #,##0.00_ ;_-[$$-409]* \-#,##0.00\ ;_-[$$-409]* &quot;-&quot;??_ ;_-@_ 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24"/>
      <color theme="1" tint="0.499984740745262"/>
      <name val="Segoe UI Semilight"/>
    </font>
    <font>
      <b/>
      <sz val="10"/>
      <color theme="0"/>
      <name val="Segoe UI"/>
      <charset val="204"/>
    </font>
    <font>
      <sz val="10"/>
      <color theme="1"/>
      <name val="Segoe UI"/>
      <charset val="204"/>
    </font>
    <font>
      <sz val="10"/>
      <color theme="1" tint="0.249977111117893"/>
      <name val="Segoe UI"/>
      <charset val="204"/>
    </font>
    <font>
      <sz val="10"/>
      <color theme="1"/>
      <name val="Segoe UI Light"/>
      <charset val="204"/>
    </font>
    <font>
      <sz val="22"/>
      <color theme="1"/>
      <name val="Segoe UI"/>
      <charset val="204"/>
    </font>
    <font>
      <sz val="11"/>
      <color theme="0"/>
      <name val="Calibri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0" fontId="7" fillId="4" borderId="0" applyNumberFormat="0" applyBorder="0" applyAlignment="0" applyProtection="0"/>
    <xf numFmtId="44" fontId="8" fillId="0" borderId="0" applyFont="0" applyFill="0" applyBorder="0" applyAlignment="0" applyProtection="0"/>
    <xf numFmtId="0" fontId="8" fillId="5" borderId="0" applyNumberFormat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left"/>
    </xf>
    <xf numFmtId="164" fontId="4" fillId="3" borderId="0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7" fillId="4" borderId="0" xfId="1" applyAlignment="1">
      <alignment horizontal="center" vertical="center"/>
    </xf>
    <xf numFmtId="44" fontId="0" fillId="0" borderId="0" xfId="2" applyFont="1" applyAlignment="1">
      <alignment horizontal="right" vertical="center"/>
    </xf>
    <xf numFmtId="0" fontId="8" fillId="5" borderId="0" xfId="3"/>
    <xf numFmtId="44" fontId="8" fillId="5" borderId="0" xfId="3" applyNumberFormat="1" applyAlignment="1">
      <alignment horizontal="right" vertical="center"/>
    </xf>
    <xf numFmtId="49" fontId="0" fillId="0" borderId="0" xfId="0" applyNumberFormat="1"/>
    <xf numFmtId="164" fontId="4" fillId="6" borderId="0" xfId="2" applyNumberFormat="1" applyFont="1" applyFill="1" applyBorder="1" applyAlignment="1">
      <alignment vertical="center"/>
    </xf>
    <xf numFmtId="0" fontId="2" fillId="2" borderId="0" xfId="1" applyFont="1" applyFill="1" applyBorder="1" applyAlignment="1">
      <alignment horizontal="left" vertical="center" indent="1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 indent="1"/>
    </xf>
    <xf numFmtId="0" fontId="2" fillId="2" borderId="0" xfId="1" applyFont="1" applyFill="1" applyBorder="1" applyAlignment="1">
      <alignment horizontal="right" vertical="center"/>
    </xf>
    <xf numFmtId="0" fontId="6" fillId="0" borderId="0" xfId="0" applyFont="1"/>
    <xf numFmtId="0" fontId="3" fillId="3" borderId="1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vertical="center"/>
    </xf>
    <xf numFmtId="49" fontId="4" fillId="3" borderId="0" xfId="0" applyNumberFormat="1" applyFont="1" applyFill="1" applyBorder="1" applyAlignment="1">
      <alignment vertical="center"/>
    </xf>
    <xf numFmtId="165" fontId="4" fillId="3" borderId="0" xfId="0" applyNumberFormat="1" applyFont="1" applyFill="1" applyBorder="1" applyAlignment="1">
      <alignment horizontal="right" vertical="center" indent="1"/>
    </xf>
    <xf numFmtId="164" fontId="3" fillId="3" borderId="2" xfId="0" applyNumberFormat="1" applyFont="1" applyFill="1" applyBorder="1"/>
    <xf numFmtId="0" fontId="3" fillId="6" borderId="1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vertical="center"/>
    </xf>
    <xf numFmtId="49" fontId="4" fillId="6" borderId="0" xfId="0" applyNumberFormat="1" applyFont="1" applyFill="1" applyBorder="1" applyAlignment="1">
      <alignment vertical="center"/>
    </xf>
    <xf numFmtId="165" fontId="4" fillId="6" borderId="0" xfId="0" applyNumberFormat="1" applyFont="1" applyFill="1" applyBorder="1" applyAlignment="1">
      <alignment horizontal="right" vertical="center" indent="1"/>
    </xf>
    <xf numFmtId="164" fontId="3" fillId="6" borderId="2" xfId="0" applyNumberFormat="1" applyFont="1" applyFill="1" applyBorder="1"/>
    <xf numFmtId="0" fontId="3" fillId="3" borderId="3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vertical="center"/>
    </xf>
    <xf numFmtId="164" fontId="4" fillId="3" borderId="4" xfId="2" applyNumberFormat="1" applyFont="1" applyFill="1" applyBorder="1" applyAlignment="1">
      <alignment vertical="center"/>
    </xf>
    <xf numFmtId="165" fontId="4" fillId="3" borderId="4" xfId="0" applyNumberFormat="1" applyFont="1" applyFill="1" applyBorder="1" applyAlignment="1">
      <alignment horizontal="right" vertical="center" indent="1"/>
    </xf>
    <xf numFmtId="164" fontId="3" fillId="3" borderId="5" xfId="0" applyNumberFormat="1" applyFont="1" applyFill="1" applyBorder="1"/>
  </cellXfs>
  <cellStyles count="4">
    <cellStyle name="20% - Accent5" xfId="3" builtinId="46"/>
    <cellStyle name="Accent5" xfId="1" builtinId="45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egoe UI" panose="020B0502040204020203" pitchFamily="34" charset="0"/>
                <a:ea typeface="+mn-ea"/>
                <a:cs typeface="+mn-cs"/>
              </a:rPr>
              <a:t>Portfolio Sectors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Calculations!$B$4</c:f>
              <c:strCache>
                <c:ptCount val="1"/>
                <c:pt idx="0">
                  <c:v>Sector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2D-4DBB-A046-33579C7F8F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2D-4DBB-A046-33579C7F8F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2D-4DBB-A046-33579C7F8F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2D-4DBB-A046-33579C7F8F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2D-4DBB-A046-33579C7F8F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2D-4DBB-A046-33579C7F8FF1}"/>
              </c:ext>
            </c:extLst>
          </c:dPt>
          <c:cat>
            <c:strRef>
              <c:f>Calculations!$B$5:$B$10</c:f>
              <c:strCache>
                <c:ptCount val="6"/>
                <c:pt idx="0">
                  <c:v>Technology</c:v>
                </c:pt>
                <c:pt idx="1">
                  <c:v>Energy</c:v>
                </c:pt>
                <c:pt idx="2">
                  <c:v>Consumer Cyclical</c:v>
                </c:pt>
                <c:pt idx="3">
                  <c:v>Industrials</c:v>
                </c:pt>
                <c:pt idx="4">
                  <c:v>Consumer Defensive</c:v>
                </c:pt>
                <c:pt idx="5">
                  <c:v>Financial Services</c:v>
                </c:pt>
              </c:strCache>
            </c:strRef>
          </c:cat>
          <c:val>
            <c:numRef>
              <c:f>Calculations!$C$5:$C$10</c:f>
              <c:numCache>
                <c:formatCode>_("$"* #,##0.00_);_("$"* \(#,##0.00\);_("$"* "-"??_);_(@_)</c:formatCode>
                <c:ptCount val="6"/>
                <c:pt idx="0">
                  <c:v>5212.3499999999995</c:v>
                </c:pt>
                <c:pt idx="1">
                  <c:v>8667</c:v>
                </c:pt>
                <c:pt idx="2">
                  <c:v>9084.41</c:v>
                </c:pt>
                <c:pt idx="3">
                  <c:v>4780.84</c:v>
                </c:pt>
                <c:pt idx="4">
                  <c:v>6438</c:v>
                </c:pt>
                <c:pt idx="5">
                  <c:v>15423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2D-4DBB-A046-33579C7F8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Calculations!$B$13</c:f>
              <c:strCache>
                <c:ptCount val="1"/>
                <c:pt idx="0">
                  <c:v>Top 5 Positions</c:v>
                </c:pt>
              </c:strCache>
            </c:strRef>
          </c:tx>
          <c:invertIfNegative val="0"/>
          <c:cat>
            <c:strRef>
              <c:f>Calculations!$B$23:$B$27</c:f>
              <c:strCache>
                <c:ptCount val="5"/>
                <c:pt idx="0">
                  <c:v>MSFT</c:v>
                </c:pt>
                <c:pt idx="1">
                  <c:v>SBUX</c:v>
                </c:pt>
                <c:pt idx="2">
                  <c:v>ADRD</c:v>
                </c:pt>
                <c:pt idx="3">
                  <c:v>LNCO</c:v>
                </c:pt>
                <c:pt idx="4">
                  <c:v>V</c:v>
                </c:pt>
              </c:strCache>
            </c:strRef>
          </c:cat>
          <c:val>
            <c:numRef>
              <c:f>Calculations!$C$23:$C$27</c:f>
              <c:numCache>
                <c:formatCode>_("$"* #,##0.00_);_("$"* \(#,##0.00\);_("$"* "-"??_);_(@_)</c:formatCode>
                <c:ptCount val="5"/>
                <c:pt idx="0">
                  <c:v>5038.8499999999995</c:v>
                </c:pt>
                <c:pt idx="1">
                  <c:v>5570</c:v>
                </c:pt>
                <c:pt idx="2">
                  <c:v>6438</c:v>
                </c:pt>
                <c:pt idx="3">
                  <c:v>8667</c:v>
                </c:pt>
                <c:pt idx="4">
                  <c:v>15423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0-4448-B6F0-F2DA6BD35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20000"/>
          <c:min val="0"/>
        </c:scaling>
        <c:delete val="0"/>
        <c:axPos val="b"/>
        <c:majorGridlines>
          <c:spPr>
            <a:effectLst/>
          </c:spPr>
        </c:majorGridlines>
        <c:numFmt formatCode="&quot;$&quot;#,##0_);\(&quot;$&quot;#,##0\)" sourceLinked="0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crossBetween val="between"/>
        <c:majorUnit val="5000"/>
      </c:valAx>
      <c:spPr>
        <a:noFill/>
        <a:effectLst/>
      </c:spPr>
    </c:plotArea>
    <c:plotVisOnly val="1"/>
    <c:dispBlanksAs val="gap"/>
    <c:showDLblsOverMax val="0"/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3</xdr:col>
      <xdr:colOff>895350</xdr:colOff>
      <xdr:row>16</xdr:row>
      <xdr:rowOff>0</xdr:rowOff>
    </xdr:to>
    <xdr:graphicFrame macro="">
      <xdr:nvGraphicFramePr>
        <xdr:cNvPr id="5" name="Chart 4" descr="The Pie chart shows allocations in different sector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1085850</xdr:colOff>
      <xdr:row>2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6" name="Chart 5" descr="The Bar chart shows the top 5 positions by total valu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Waveform">
      <a:dk1>
        <a:sysClr val="windowText" lastClr="000000"/>
      </a:dk1>
      <a:lt1>
        <a:sysClr val="window" lastClr="FFFFFF"/>
      </a:lt1>
      <a:dk2>
        <a:srgbClr val="073E87"/>
      </a:dk2>
      <a:lt2>
        <a:srgbClr val="C6E7FC"/>
      </a:lt2>
      <a:accent1>
        <a:srgbClr val="31B6FD"/>
      </a:accent1>
      <a:accent2>
        <a:srgbClr val="4584D3"/>
      </a:accent2>
      <a:accent3>
        <a:srgbClr val="5BD078"/>
      </a:accent3>
      <a:accent4>
        <a:srgbClr val="A5D028"/>
      </a:accent4>
      <a:accent5>
        <a:srgbClr val="F5C040"/>
      </a:accent5>
      <a:accent6>
        <a:srgbClr val="05E0DB"/>
      </a:accent6>
      <a:hlink>
        <a:srgbClr val="0080FF"/>
      </a:hlink>
      <a:folHlink>
        <a:srgbClr val="5EAEF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I34"/>
  <sheetViews>
    <sheetView tabSelected="1" topLeftCell="A8" zoomScaleNormal="100" workbookViewId="0">
      <selection activeCell="L19" sqref="L19"/>
    </sheetView>
  </sheetViews>
  <sheetFormatPr defaultRowHeight="14.4" x14ac:dyDescent="0.3"/>
  <cols>
    <col min="1" max="1" width="3" customWidth="1"/>
    <col min="2" max="2" width="10.6640625" customWidth="1"/>
    <col min="3" max="3" width="39.44140625" customWidth="1"/>
    <col min="4" max="4" width="20.33203125" customWidth="1"/>
    <col min="5" max="6" width="9.6640625" customWidth="1"/>
    <col min="7" max="7" width="17" customWidth="1"/>
    <col min="8" max="8" width="10.88671875" customWidth="1"/>
    <col min="9" max="9" width="12.5546875" customWidth="1"/>
    <col min="10" max="10" width="3.44140625" customWidth="1"/>
  </cols>
  <sheetData>
    <row r="1" spans="2:4" ht="34.799999999999997" x14ac:dyDescent="0.75">
      <c r="B1" s="1" t="s">
        <v>0</v>
      </c>
      <c r="C1" s="1"/>
      <c r="D1" s="1"/>
    </row>
    <row r="18" spans="2:9" ht="17.100000000000001" customHeight="1" x14ac:dyDescent="0.3">
      <c r="B18" s="10" t="s">
        <v>1</v>
      </c>
      <c r="C18" s="11" t="s">
        <v>2</v>
      </c>
      <c r="D18" s="11" t="s">
        <v>3</v>
      </c>
      <c r="E18" s="12" t="s">
        <v>4</v>
      </c>
      <c r="F18" s="12" t="s">
        <v>5</v>
      </c>
      <c r="G18" s="12" t="s">
        <v>6</v>
      </c>
      <c r="H18" s="13" t="s">
        <v>7</v>
      </c>
      <c r="I18" s="12" t="s">
        <v>8</v>
      </c>
    </row>
    <row r="19" spans="2:9" ht="15" x14ac:dyDescent="0.35">
      <c r="B19" s="20" t="s">
        <v>9</v>
      </c>
      <c r="C19" s="21" t="s">
        <v>10</v>
      </c>
      <c r="D19" s="22" t="s">
        <v>11</v>
      </c>
      <c r="E19" s="9">
        <v>27.82</v>
      </c>
      <c r="F19" s="9">
        <v>28.15</v>
      </c>
      <c r="G19" s="23">
        <v>7.1999999999999998E-3</v>
      </c>
      <c r="H19" s="21">
        <v>179</v>
      </c>
      <c r="I19" s="24">
        <f>F19*H19</f>
        <v>5038.8499999999995</v>
      </c>
    </row>
    <row r="20" spans="2:9" ht="15" x14ac:dyDescent="0.35">
      <c r="B20" s="15" t="s">
        <v>12</v>
      </c>
      <c r="C20" s="16" t="s">
        <v>13</v>
      </c>
      <c r="D20" s="17" t="s">
        <v>14</v>
      </c>
      <c r="E20" s="2">
        <v>38.799999999999997</v>
      </c>
      <c r="F20" s="2">
        <v>38.520000000000003</v>
      </c>
      <c r="G20" s="18">
        <v>-6.7000000000000002E-3</v>
      </c>
      <c r="H20" s="16">
        <v>225</v>
      </c>
      <c r="I20" s="19">
        <f t="shared" ref="I20:I30" si="0">F20*H20</f>
        <v>8667</v>
      </c>
    </row>
    <row r="21" spans="2:9" ht="15" x14ac:dyDescent="0.35">
      <c r="B21" s="20" t="s">
        <v>15</v>
      </c>
      <c r="C21" s="21" t="s">
        <v>16</v>
      </c>
      <c r="D21" s="22" t="s">
        <v>17</v>
      </c>
      <c r="E21" s="9">
        <v>12.55</v>
      </c>
      <c r="F21" s="9">
        <v>12.75</v>
      </c>
      <c r="G21" s="23">
        <v>1.11E-2</v>
      </c>
      <c r="H21" s="21">
        <v>141</v>
      </c>
      <c r="I21" s="24">
        <f t="shared" si="0"/>
        <v>1797.75</v>
      </c>
    </row>
    <row r="22" spans="2:9" ht="15" x14ac:dyDescent="0.35">
      <c r="B22" s="15" t="s">
        <v>18</v>
      </c>
      <c r="C22" s="16" t="s">
        <v>19</v>
      </c>
      <c r="D22" s="17" t="s">
        <v>20</v>
      </c>
      <c r="E22" s="2">
        <v>9.93</v>
      </c>
      <c r="F22" s="2">
        <v>9.94</v>
      </c>
      <c r="G22" s="18">
        <v>-2E-3</v>
      </c>
      <c r="H22" s="16">
        <v>86</v>
      </c>
      <c r="I22" s="19">
        <f t="shared" si="0"/>
        <v>854.83999999999992</v>
      </c>
    </row>
    <row r="23" spans="2:9" ht="15" x14ac:dyDescent="0.35">
      <c r="B23" s="20" t="s">
        <v>21</v>
      </c>
      <c r="C23" s="21" t="s">
        <v>22</v>
      </c>
      <c r="D23" s="22" t="s">
        <v>23</v>
      </c>
      <c r="E23" s="9">
        <v>21.45</v>
      </c>
      <c r="F23" s="9">
        <v>21.46</v>
      </c>
      <c r="G23" s="23">
        <v>3.8999999999999998E-3</v>
      </c>
      <c r="H23" s="21">
        <v>300</v>
      </c>
      <c r="I23" s="24">
        <f t="shared" si="0"/>
        <v>6438</v>
      </c>
    </row>
    <row r="24" spans="2:9" ht="15" x14ac:dyDescent="0.35">
      <c r="B24" s="15" t="s">
        <v>24</v>
      </c>
      <c r="C24" s="16" t="s">
        <v>25</v>
      </c>
      <c r="D24" s="17" t="s">
        <v>26</v>
      </c>
      <c r="E24" s="2">
        <v>157.76</v>
      </c>
      <c r="F24" s="2">
        <v>159</v>
      </c>
      <c r="G24" s="18">
        <v>8.9999999999999993E-3</v>
      </c>
      <c r="H24" s="16">
        <v>97</v>
      </c>
      <c r="I24" s="19">
        <f>F24*H24</f>
        <v>15423</v>
      </c>
    </row>
    <row r="25" spans="2:9" ht="15" x14ac:dyDescent="0.35">
      <c r="B25" s="20" t="s">
        <v>27</v>
      </c>
      <c r="C25" s="21" t="s">
        <v>28</v>
      </c>
      <c r="D25" s="22" t="s">
        <v>20</v>
      </c>
      <c r="E25" s="9">
        <v>16.47</v>
      </c>
      <c r="F25" s="9">
        <v>17.27</v>
      </c>
      <c r="G25" s="23">
        <v>4.2200000000000001E-2</v>
      </c>
      <c r="H25" s="21">
        <v>34</v>
      </c>
      <c r="I25" s="24">
        <f t="shared" si="0"/>
        <v>587.17999999999995</v>
      </c>
    </row>
    <row r="26" spans="2:9" ht="15" x14ac:dyDescent="0.35">
      <c r="B26" s="15" t="s">
        <v>29</v>
      </c>
      <c r="C26" s="16" t="s">
        <v>30</v>
      </c>
      <c r="D26" s="17" t="s">
        <v>20</v>
      </c>
      <c r="E26" s="2">
        <v>55.15</v>
      </c>
      <c r="F26" s="2">
        <v>55.58</v>
      </c>
      <c r="G26" s="18">
        <v>2.7000000000000001E-3</v>
      </c>
      <c r="H26" s="16">
        <v>45</v>
      </c>
      <c r="I26" s="19">
        <f t="shared" si="0"/>
        <v>2501.1</v>
      </c>
    </row>
    <row r="27" spans="2:9" ht="15" x14ac:dyDescent="0.35">
      <c r="B27" s="20" t="s">
        <v>31</v>
      </c>
      <c r="C27" s="21" t="s">
        <v>32</v>
      </c>
      <c r="D27" s="22" t="s">
        <v>17</v>
      </c>
      <c r="E27" s="9">
        <v>31.97</v>
      </c>
      <c r="F27" s="9">
        <v>31.79</v>
      </c>
      <c r="G27" s="23">
        <v>-8.0999999999999996E-3</v>
      </c>
      <c r="H27" s="21">
        <v>54</v>
      </c>
      <c r="I27" s="24">
        <f t="shared" si="0"/>
        <v>1716.6599999999999</v>
      </c>
    </row>
    <row r="28" spans="2:9" ht="15" x14ac:dyDescent="0.35">
      <c r="B28" s="15" t="s">
        <v>33</v>
      </c>
      <c r="C28" s="16" t="s">
        <v>34</v>
      </c>
      <c r="D28" s="17" t="s">
        <v>20</v>
      </c>
      <c r="E28" s="2">
        <v>23.15</v>
      </c>
      <c r="F28" s="2">
        <v>23.27</v>
      </c>
      <c r="G28" s="18">
        <v>3.3999999999999998E-3</v>
      </c>
      <c r="H28" s="16">
        <v>36</v>
      </c>
      <c r="I28" s="19">
        <f t="shared" si="0"/>
        <v>837.72</v>
      </c>
    </row>
    <row r="29" spans="2:9" ht="15" x14ac:dyDescent="0.35">
      <c r="B29" s="20" t="s">
        <v>35</v>
      </c>
      <c r="C29" s="21" t="s">
        <v>36</v>
      </c>
      <c r="D29" s="22" t="s">
        <v>17</v>
      </c>
      <c r="E29" s="9">
        <v>54.77</v>
      </c>
      <c r="F29" s="9">
        <v>55.7</v>
      </c>
      <c r="G29" s="23">
        <v>1.5100000000000001E-2</v>
      </c>
      <c r="H29" s="21">
        <v>100</v>
      </c>
      <c r="I29" s="24">
        <f t="shared" si="0"/>
        <v>5570</v>
      </c>
    </row>
    <row r="30" spans="2:9" ht="15" x14ac:dyDescent="0.35">
      <c r="B30" s="25" t="s">
        <v>37</v>
      </c>
      <c r="C30" s="26" t="s">
        <v>38</v>
      </c>
      <c r="D30" s="27" t="s">
        <v>11</v>
      </c>
      <c r="E30" s="28">
        <v>3.48</v>
      </c>
      <c r="F30" s="28">
        <v>3.47</v>
      </c>
      <c r="G30" s="29">
        <v>-3.3399999999999999E-2</v>
      </c>
      <c r="H30" s="26">
        <v>50</v>
      </c>
      <c r="I30" s="30">
        <f t="shared" si="0"/>
        <v>173.5</v>
      </c>
    </row>
    <row r="31" spans="2:9" ht="15" x14ac:dyDescent="0.3">
      <c r="C31" s="3"/>
    </row>
    <row r="32" spans="2:9" ht="15" x14ac:dyDescent="0.3">
      <c r="C32" s="3"/>
    </row>
    <row r="33" spans="3:3" ht="15" x14ac:dyDescent="0.3">
      <c r="C33" s="3"/>
    </row>
    <row r="34" spans="3:3" ht="15" x14ac:dyDescent="0.3">
      <c r="C34" s="3"/>
    </row>
  </sheetData>
  <pageMargins left="0.7" right="0.7" top="0.75" bottom="0.75" header="0.3" footer="0.3"/>
  <pageSetup paperSize="9" scale="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7"/>
  <sheetViews>
    <sheetView workbookViewId="0">
      <selection activeCell="B13" sqref="B13:D13"/>
    </sheetView>
  </sheetViews>
  <sheetFormatPr defaultRowHeight="14.4" x14ac:dyDescent="0.3"/>
  <cols>
    <col min="1" max="1" width="4.5546875" customWidth="1"/>
    <col min="2" max="2" width="21.33203125" customWidth="1"/>
    <col min="3" max="3" width="15.5546875" customWidth="1"/>
    <col min="8" max="8" width="9.109375" customWidth="1"/>
  </cols>
  <sheetData>
    <row r="2" spans="2:8" ht="32.4" x14ac:dyDescent="0.7">
      <c r="B2" s="14" t="s">
        <v>39</v>
      </c>
      <c r="C2" s="14"/>
    </row>
    <row r="4" spans="2:8" ht="18.75" customHeight="1" x14ac:dyDescent="0.3">
      <c r="B4" s="4" t="str">
        <f t="array" ref="B4">INDEX(Portfolio!$D$18:$D$30,MATCH(0,COUNTIF($B$3:B3,Portfolio!$D$18:$D$30),0))</f>
        <v>Sector</v>
      </c>
      <c r="C4" s="4" t="s">
        <v>40</v>
      </c>
    </row>
    <row r="5" spans="2:8" x14ac:dyDescent="0.3">
      <c r="B5" t="str">
        <f t="array" ref="B5">INDEX(Portfolio!$D$18:$D$30,MATCH(0,COUNTIF($B$3:B4,Portfolio!$D$18:$D$30),0))</f>
        <v>Technology</v>
      </c>
      <c r="C5" s="5">
        <f>SUMIFS(Portfolio!$I$19:$I$30,Portfolio!$D$19:$D$30,B5)</f>
        <v>5212.3499999999995</v>
      </c>
    </row>
    <row r="6" spans="2:8" x14ac:dyDescent="0.3">
      <c r="B6" s="6" t="str">
        <f t="array" ref="B6">INDEX(Portfolio!$D$18:$D$30,MATCH(0,COUNTIF($B$3:B5,Portfolio!$D$18:$D$30),0))</f>
        <v>Energy</v>
      </c>
      <c r="C6" s="7">
        <f>SUMIFS(Portfolio!$I$19:$I$30,Portfolio!$D$19:$D$30,B6)</f>
        <v>8667</v>
      </c>
    </row>
    <row r="7" spans="2:8" x14ac:dyDescent="0.3">
      <c r="B7" t="str">
        <f t="array" ref="B7">INDEX(Portfolio!$D$18:$D$30,MATCH(0,COUNTIF($B$3:B6,Portfolio!$D$18:$D$30),0))</f>
        <v>Consumer Cyclical</v>
      </c>
      <c r="C7" s="5">
        <f>SUMIFS(Portfolio!$I$19:$I$30,Portfolio!$D$19:$D$30,B7)</f>
        <v>9084.41</v>
      </c>
    </row>
    <row r="8" spans="2:8" x14ac:dyDescent="0.3">
      <c r="B8" s="6" t="str">
        <f t="array" ref="B8">INDEX(Portfolio!$D$18:$D$30,MATCH(0,COUNTIF($B$3:B7,Portfolio!$D$18:$D$30),0))</f>
        <v>Industrials</v>
      </c>
      <c r="C8" s="7">
        <f>SUMIFS(Portfolio!$I$19:$I$30,Portfolio!$D$19:$D$30,B8)</f>
        <v>4780.84</v>
      </c>
    </row>
    <row r="9" spans="2:8" x14ac:dyDescent="0.3">
      <c r="B9" t="str">
        <f t="array" ref="B9">INDEX(Portfolio!$D$18:$D$30,MATCH(0,COUNTIF($B$3:B8,Portfolio!$D$18:$D$30),0))</f>
        <v>Consumer Defensive</v>
      </c>
      <c r="C9" s="5">
        <f>SUMIFS(Portfolio!$I$19:$I$30,Portfolio!$D$19:$D$30,B9)</f>
        <v>6438</v>
      </c>
      <c r="D9" s="8"/>
      <c r="H9" s="8"/>
    </row>
    <row r="10" spans="2:8" x14ac:dyDescent="0.3">
      <c r="B10" s="6" t="str">
        <f t="array" ref="B10">INDEX(Portfolio!$D$18:$D$30,MATCH(0,COUNTIF($B$3:B9,Portfolio!$D$18:$D$30),0))</f>
        <v>Financial Services</v>
      </c>
      <c r="C10" s="7">
        <f>SUMIFS(Portfolio!$I$19:$I$30,Portfolio!$D$19:$D$30,B10)</f>
        <v>15423</v>
      </c>
    </row>
    <row r="11" spans="2:8" x14ac:dyDescent="0.3">
      <c r="C11" s="8"/>
    </row>
    <row r="13" spans="2:8" ht="32.4" x14ac:dyDescent="0.7">
      <c r="B13" s="14" t="s">
        <v>41</v>
      </c>
      <c r="C13" s="14"/>
      <c r="D13" s="14"/>
    </row>
    <row r="15" spans="2:8" ht="21" customHeight="1" x14ac:dyDescent="0.3">
      <c r="B15" s="4" t="s">
        <v>42</v>
      </c>
      <c r="C15" s="4" t="s">
        <v>8</v>
      </c>
    </row>
    <row r="16" spans="2:8" x14ac:dyDescent="0.3">
      <c r="B16" t="str">
        <f>INDEX(Portfolio!$B$19:$B30, MATCH(C16,Portfolio!$I$19:$I$30,0))</f>
        <v>NOK</v>
      </c>
      <c r="C16" s="5">
        <f>SMALL(Portfolio!$I$19:$I30,ROWS($C$16:$C16))</f>
        <v>173.5</v>
      </c>
    </row>
    <row r="17" spans="2:3" x14ac:dyDescent="0.3">
      <c r="B17" s="6" t="str">
        <f>INDEX(Portfolio!$B$19:$B31, MATCH(C17,Portfolio!$I$19:$I$30,0))</f>
        <v>MGI</v>
      </c>
      <c r="C17" s="7">
        <f>SMALL(Portfolio!$I$19:$I31,ROWS($C$16:$C17))</f>
        <v>587.17999999999995</v>
      </c>
    </row>
    <row r="18" spans="2:3" x14ac:dyDescent="0.3">
      <c r="B18" t="str">
        <f>INDEX(Portfolio!$B$19:$B32, MATCH(C18,Portfolio!$I$19:$I$30,0))</f>
        <v>GE</v>
      </c>
      <c r="C18" s="5">
        <f>SMALL(Portfolio!$I$19:$I32,ROWS($C$16:$C18))</f>
        <v>837.72</v>
      </c>
    </row>
    <row r="19" spans="2:3" x14ac:dyDescent="0.3">
      <c r="B19" s="6" t="str">
        <f>INDEX(Portfolio!$B$19:$B33, MATCH(C19,Portfolio!$I$19:$I$30,0))</f>
        <v>BGSC</v>
      </c>
      <c r="C19" s="7">
        <f>SMALL(Portfolio!$I$19:$I33,ROWS($C$16:$C19))</f>
        <v>854.83999999999992</v>
      </c>
    </row>
    <row r="20" spans="2:3" x14ac:dyDescent="0.3">
      <c r="B20" t="str">
        <f>INDEX(Portfolio!$B$19:$B34, MATCH(C20,Portfolio!$I$19:$I$30,0))</f>
        <v>JACK</v>
      </c>
      <c r="C20" s="5">
        <f>SMALL(Portfolio!$I$19:$I34,ROWS($C$16:$C20))</f>
        <v>1716.6599999999999</v>
      </c>
    </row>
    <row r="21" spans="2:3" x14ac:dyDescent="0.3">
      <c r="B21" s="6" t="str">
        <f>INDEX(Portfolio!$B$19:$B35, MATCH(C21,Portfolio!$I$19:$I$30,0))</f>
        <v>F</v>
      </c>
      <c r="C21" s="7">
        <f>SMALL(Portfolio!$I$19:$I35,ROWS($C$16:$C21))</f>
        <v>1797.75</v>
      </c>
    </row>
    <row r="22" spans="2:3" x14ac:dyDescent="0.3">
      <c r="B22" t="str">
        <f>INDEX(Portfolio!$B$19:$B36, MATCH(C22,Portfolio!$I$19:$I$30,0))</f>
        <v>R</v>
      </c>
      <c r="C22" s="5">
        <f>SMALL(Portfolio!$I$19:$I36,ROWS($C$16:$C22))</f>
        <v>2501.1</v>
      </c>
    </row>
    <row r="23" spans="2:3" x14ac:dyDescent="0.3">
      <c r="B23" s="6" t="str">
        <f>INDEX(Portfolio!$B$19:$B37, MATCH(C23,Portfolio!$I$19:$I$30,0))</f>
        <v>MSFT</v>
      </c>
      <c r="C23" s="7">
        <f>SMALL(Portfolio!$I$19:$I37,ROWS($C$16:$C23))</f>
        <v>5038.8499999999995</v>
      </c>
    </row>
    <row r="24" spans="2:3" x14ac:dyDescent="0.3">
      <c r="B24" t="str">
        <f>INDEX(Portfolio!$B$19:$B38, MATCH(C24,Portfolio!$I$19:$I$30,0))</f>
        <v>SBUX</v>
      </c>
      <c r="C24" s="5">
        <f>SMALL(Portfolio!$I$19:$I38,ROWS($C$16:$C24))</f>
        <v>5570</v>
      </c>
    </row>
    <row r="25" spans="2:3" x14ac:dyDescent="0.3">
      <c r="B25" s="6" t="str">
        <f>INDEX(Portfolio!$B$19:$B39, MATCH(C25,Portfolio!$I$19:$I$30,0))</f>
        <v>ADRD</v>
      </c>
      <c r="C25" s="7">
        <f>SMALL(Portfolio!$I$19:$I39,ROWS($C$16:$C25))</f>
        <v>6438</v>
      </c>
    </row>
    <row r="26" spans="2:3" x14ac:dyDescent="0.3">
      <c r="B26" t="str">
        <f>INDEX(Portfolio!$B$19:$B40, MATCH(C26,Portfolio!$I$19:$I$30,0))</f>
        <v>LNCO</v>
      </c>
      <c r="C26" s="5">
        <f>SMALL(Portfolio!$I$19:$I40,ROWS($C$16:$C26))</f>
        <v>8667</v>
      </c>
    </row>
    <row r="27" spans="2:3" x14ac:dyDescent="0.3">
      <c r="B27" s="6" t="str">
        <f>INDEX(Portfolio!$B$19:$B41, MATCH(C27,Portfolio!$I$19:$I$30,0))</f>
        <v>V</v>
      </c>
      <c r="C27" s="7">
        <f>SMALL(Portfolio!$I$19:$I41,ROWS($C$16:$C27))</f>
        <v>15423</v>
      </c>
    </row>
  </sheetData>
  <mergeCells count="2">
    <mergeCell ref="B2:C2"/>
    <mergeCell ref="B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Portfolio</vt:lpstr>
      <vt:lpstr>Calculations</vt:lpstr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Demian Ignatev</cp:lastModifiedBy>
  <cp:lastPrinted>2018-10-19T12:21:48Z</cp:lastPrinted>
  <dcterms:created xsi:type="dcterms:W3CDTF">2013-11-07T05:12:24Z</dcterms:created>
  <dcterms:modified xsi:type="dcterms:W3CDTF">2025-05-13T08:48:14Z</dcterms:modified>
</cp:coreProperties>
</file>